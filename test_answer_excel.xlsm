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 anlytics\excel\"/>
    </mc:Choice>
  </mc:AlternateContent>
  <xr:revisionPtr revIDLastSave="0" documentId="13_ncr:1_{96A58864-BDBC-40E2-8872-3B065F24456C}" xr6:coauthVersionLast="47" xr6:coauthVersionMax="47" xr10:uidLastSave="{00000000-0000-0000-0000-000000000000}"/>
  <bookViews>
    <workbookView xWindow="-108" yWindow="-108" windowWidth="23256" windowHeight="12456" activeTab="1" xr2:uid="{397B292D-121E-4BE3-9B0B-B5D2B3FEA1C8}"/>
  </bookViews>
  <sheets>
    <sheet name="Sheet2" sheetId="2" r:id="rId1"/>
    <sheet name="dashboard" sheetId="3" r:id="rId2"/>
    <sheet name="Sheet1" sheetId="4" r:id="rId3"/>
    <sheet name="answer" sheetId="1" r:id="rId4"/>
  </sheets>
  <definedNames>
    <definedName name="_xlnm._FilterDatabase" localSheetId="0" hidden="1">Sheet2!$A$47:$H$53</definedName>
  </definedNames>
  <calcPr calcId="191029"/>
  <pivotCaches>
    <pivotCache cacheId="2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" i="1" l="1"/>
  <c r="B13" i="1"/>
  <c r="B17" i="1"/>
  <c r="A71" i="2"/>
  <c r="A91" i="1"/>
  <c r="A87" i="1"/>
  <c r="A83" i="1"/>
  <c r="B62" i="1" a="1"/>
  <c r="B62" i="1" s="1"/>
  <c r="B54" i="1" a="1"/>
  <c r="B54" i="1" s="1"/>
  <c r="B49" i="1"/>
  <c r="B48" i="1"/>
  <c r="A23" i="1"/>
  <c r="C20" i="1"/>
  <c r="A20" i="1"/>
  <c r="B68" i="1" l="1" a="1"/>
  <c r="B68" i="1" s="1"/>
  <c r="C69" i="1" s="1" a="1"/>
  <c r="C6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<sst xmlns="http://schemas.openxmlformats.org/spreadsheetml/2006/main" count="172" uniqueCount="45">
  <si>
    <t>EmployeeID</t>
  </si>
  <si>
    <t>FirstName</t>
  </si>
  <si>
    <t>LastName</t>
  </si>
  <si>
    <t>Department</t>
  </si>
  <si>
    <t>Salary</t>
  </si>
  <si>
    <t>JoiningDate</t>
  </si>
  <si>
    <t>ManagerID</t>
  </si>
  <si>
    <t>John</t>
  </si>
  <si>
    <t>Doe</t>
  </si>
  <si>
    <t>IT</t>
  </si>
  <si>
    <t>Jane</t>
  </si>
  <si>
    <t>Smith</t>
  </si>
  <si>
    <t>HR</t>
  </si>
  <si>
    <t>Sam</t>
  </si>
  <si>
    <t>Brown</t>
  </si>
  <si>
    <t>Lisa</t>
  </si>
  <si>
    <t>White</t>
  </si>
  <si>
    <t>Tom</t>
  </si>
  <si>
    <t>Black</t>
  </si>
  <si>
    <t>Finance</t>
  </si>
  <si>
    <t>Eva</t>
  </si>
  <si>
    <t>Green</t>
  </si>
  <si>
    <t>and</t>
  </si>
  <si>
    <t>or</t>
  </si>
  <si>
    <t>A7</t>
  </si>
  <si>
    <t>button</t>
  </si>
  <si>
    <t>trim</t>
  </si>
  <si>
    <t>proper</t>
  </si>
  <si>
    <t>lower</t>
  </si>
  <si>
    <t>upper</t>
  </si>
  <si>
    <t>A15</t>
  </si>
  <si>
    <t>A16</t>
  </si>
  <si>
    <t>A17</t>
  </si>
  <si>
    <t>Row Labels</t>
  </si>
  <si>
    <t>Grand Total</t>
  </si>
  <si>
    <t>A23</t>
  </si>
  <si>
    <t>A24</t>
  </si>
  <si>
    <t>A25</t>
  </si>
  <si>
    <t>ctrl+shift+l</t>
  </si>
  <si>
    <t>A27</t>
  </si>
  <si>
    <t>A29</t>
  </si>
  <si>
    <t>A30</t>
  </si>
  <si>
    <t>Count of Salary</t>
  </si>
  <si>
    <t>Column Labels</t>
  </si>
  <si>
    <t>Sum of Salary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</si>
</sst>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14" fontId="2" fillId="0" borderId="0" xfId="0" applyNumberFormat="1" applyFont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3" borderId="0" xfId="0" applyFill="1"/>
    <xf numFmtId="0" fontId="0" fillId="0" borderId="0" xfId="0" applyNumberForma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[test_answer_excel.xlsm]Sheet2!PivotTable2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3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4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5"/>
        <c:spPr>
          <a:solidFill>
            <a:schemeClr val="accent4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6"/>
        <c:spPr>
          <a:solidFill>
            <a:schemeClr val="accent5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7"/>
        <c:spPr>
          <a:solidFill>
            <a:schemeClr val="accent6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4-B899-4339-B21D-D2F9E778804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B899-4339-B21D-D2F9E778804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B899-4339-B21D-D2F9E778804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6-B899-4339-B21D-D2F9E778804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B899-4339-B21D-D2F9E778804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8-B899-4339-B21D-D2F9E778804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Sheet2!$A$4:$A$16</c:f>
              <c:multiLvlStrCache>
                <c:ptCount val="6"/>
                <c:lvl>
                  <c:pt idx="0">
                    <c:v>Tom</c:v>
                  </c:pt>
                  <c:pt idx="1">
                    <c:v>Jane</c:v>
                  </c:pt>
                  <c:pt idx="2">
                    <c:v>Lisa</c:v>
                  </c:pt>
                  <c:pt idx="3">
                    <c:v>John</c:v>
                  </c:pt>
                  <c:pt idx="4">
                    <c:v>Eva</c:v>
                  </c:pt>
                  <c:pt idx="5">
                    <c:v>Sam</c:v>
                  </c:pt>
                </c:lvl>
                <c:lvl>
                  <c:pt idx="0">
                    <c:v>50000</c:v>
                  </c:pt>
                  <c:pt idx="1">
                    <c:v>55000</c:v>
                  </c:pt>
                  <c:pt idx="2">
                    <c:v>58000</c:v>
                  </c:pt>
                  <c:pt idx="3">
                    <c:v>60000</c:v>
                  </c:pt>
                  <c:pt idx="4">
                    <c:v>65000</c:v>
                  </c:pt>
                  <c:pt idx="5">
                    <c:v>70000</c:v>
                  </c:pt>
                </c:lvl>
              </c:multiLvlStrCache>
            </c:multiLvlStrRef>
          </c:cat>
          <c:val>
            <c:numRef>
              <c:f>Sheet2!$B$4:$B$16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99-4339-B21D-D2F9E778804D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[test_answer_excel.xlsm]Sheet2!PivotTable2</c:name>
    <c:fmtId val="1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4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"/>
        <c:spPr>
          <a:solidFill>
            <a:schemeClr val="accent4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Sheet2!$A$4:$A$16</c:f>
              <c:multiLvlStrCache>
                <c:ptCount val="6"/>
                <c:lvl>
                  <c:pt idx="0">
                    <c:v>Tom</c:v>
                  </c:pt>
                  <c:pt idx="1">
                    <c:v>Jane</c:v>
                  </c:pt>
                  <c:pt idx="2">
                    <c:v>Lisa</c:v>
                  </c:pt>
                  <c:pt idx="3">
                    <c:v>John</c:v>
                  </c:pt>
                  <c:pt idx="4">
                    <c:v>Eva</c:v>
                  </c:pt>
                  <c:pt idx="5">
                    <c:v>Sam</c:v>
                  </c:pt>
                </c:lvl>
                <c:lvl>
                  <c:pt idx="0">
                    <c:v>50000</c:v>
                  </c:pt>
                  <c:pt idx="1">
                    <c:v>55000</c:v>
                  </c:pt>
                  <c:pt idx="2">
                    <c:v>58000</c:v>
                  </c:pt>
                  <c:pt idx="3">
                    <c:v>60000</c:v>
                  </c:pt>
                  <c:pt idx="4">
                    <c:v>65000</c:v>
                  </c:pt>
                  <c:pt idx="5">
                    <c:v>70000</c:v>
                  </c:pt>
                </c:lvl>
              </c:multiLvlStrCache>
            </c:multiLvlStrRef>
          </c:cat>
          <c:val>
            <c:numRef>
              <c:f>Sheet2!$B$4:$B$16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442-426B-99A9-0006FB6B10E9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Lit>
              <c:ptCount val="3"/>
              <c:pt idx="0">
                <c:v>Finance</c:v>
              </c:pt>
              <c:pt idx="1">
                <c:v>HR</c:v>
              </c:pt>
              <c:pt idx="2">
                <c:v>IT</c:v>
              </c:pt>
            </c:strLit>
          </c:cat>
          <c:val>
            <c:numLit>
              <c:formatCode>General</c:formatCode>
              <c:ptCount val="3"/>
              <c:pt idx="0">
                <c:v>115000</c:v>
              </c:pt>
              <c:pt idx="1">
                <c:v>113000</c:v>
              </c:pt>
              <c:pt idx="2">
                <c:v>130000</c:v>
              </c:pt>
            </c:numLit>
          </c:val>
          <c:extLst>
            <c:ext xmlns:c16="http://schemas.microsoft.com/office/drawing/2014/chart" uri="{C3380CC4-5D6E-409C-BE32-E72D297353CC}">
              <c16:uniqueId val="{00000000-397E-459B-A405-D0E76B415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25411023"/>
        <c:axId val="525411503"/>
        <c:axId val="0"/>
      </c:bar3DChart>
      <c:catAx>
        <c:axId val="525411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411503"/>
        <c:crosses val="autoZero"/>
        <c:auto val="1"/>
        <c:lblAlgn val="ctr"/>
        <c:lblOffset val="100"/>
        <c:noMultiLvlLbl val="0"/>
      </c:catAx>
      <c:valAx>
        <c:axId val="525411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411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[test_answer_excel.xlsm]Sheet1!PivotTable1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Finance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Sheet1!$A$5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Sheet1!$B$5</c:f>
              <c:numCache>
                <c:formatCode>General</c:formatCode>
                <c:ptCount val="1"/>
                <c:pt idx="0">
                  <c:v>115000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7B-49FD-BCC7-743CEF613B4C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HR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Sheet1!$A$5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Sheet1!$C$5</c:f>
              <c:numCache>
                <c:formatCode>General</c:formatCode>
                <c:ptCount val="1"/>
                <c:pt idx="0">
                  <c:v>113000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7B-49FD-BCC7-743CEF613B4C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IT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Sheet1!$A$5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Sheet1!$D$5</c:f>
              <c:numCache>
                <c:formatCode>General</c:formatCode>
                <c:ptCount val="1"/>
                <c:pt idx="0">
                  <c:v>130000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7B-49FD-BCC7-743CEF613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49639823"/>
        <c:axId val="1449626863"/>
        <c:axId val="0"/>
      </c:bar3DChart>
      <c:catAx>
        <c:axId val="1449639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9626863"/>
        <c:crosses val="autoZero"/>
        <c:auto val="1"/>
        <c:lblAlgn val="ctr"/>
        <c:lblOffset val="100"/>
        <c:noMultiLvlLbl val="0"/>
      </c:catAx>
      <c:valAx>
        <c:axId val="144962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9639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[test_answer_excel.xlsm]Sheet1!PivotTable1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Finance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Sheet1!$A$5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Sheet1!$B$5</c:f>
              <c:numCache>
                <c:formatCode>General</c:formatCode>
                <c:ptCount val="1"/>
                <c:pt idx="0">
                  <c:v>115000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C7-4E63-9E21-944FF67E95D3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HR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Sheet1!$A$5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Sheet1!$C$5</c:f>
              <c:numCache>
                <c:formatCode>General</c:formatCode>
                <c:ptCount val="1"/>
                <c:pt idx="0">
                  <c:v>113000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C7-4E63-9E21-944FF67E95D3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IT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Sheet1!$A$5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Sheet1!$D$5</c:f>
              <c:numCache>
                <c:formatCode>General</c:formatCode>
                <c:ptCount val="1"/>
                <c:pt idx="0">
                  <c:v>130000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C7-4E63-9E21-944FF67E9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49639823"/>
        <c:axId val="1449626863"/>
        <c:axId val="0"/>
      </c:bar3DChart>
      <c:catAx>
        <c:axId val="1449639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9626863"/>
        <c:crosses val="autoZero"/>
        <c:auto val="1"/>
        <c:lblAlgn val="ctr"/>
        <c:lblOffset val="100"/>
        <c:noMultiLvlLbl val="0"/>
      </c:catAx>
      <c:valAx>
        <c:axId val="144962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9639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300990</xdr:colOff>
      <xdr:row>2</xdr:row>
      <xdr:rowOff>34290</xdr:rowOff>
    </xdr:from>
    <xdr:to>
      <xdr:col>9</xdr:col>
      <xdr:colOff>605790</xdr:colOff>
      <xdr:row>17</xdr:row>
      <xdr:rowOff>34290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358140</xdr:colOff>
      <xdr:row>19</xdr:row>
      <xdr:rowOff>114300</xdr:rowOff>
    </xdr:from>
    <xdr:to>
      <xdr:col>1</xdr:col>
      <xdr:colOff>365760</xdr:colOff>
      <xdr:row>21</xdr:row>
      <xdr:rowOff>38100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58140" y="3589020"/>
          <a:ext cx="868680" cy="289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A20</a:t>
          </a:r>
        </a:p>
      </xdr:txBody>
    </xdr:sp>
    <xdr:clientData/>
  </xdr:twoCellAnchor>
  <xdr:twoCellAnchor>
    <xdr:from>
      <xdr:col>0</xdr:col>
      <xdr:colOff>403860</xdr:colOff>
      <xdr:row>33</xdr:row>
      <xdr:rowOff>15240</xdr:rowOff>
    </xdr:from>
    <xdr:to>
      <xdr:col>1</xdr:col>
      <xdr:colOff>525780</xdr:colOff>
      <xdr:row>34</xdr:row>
      <xdr:rowOff>137160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403860" y="5501640"/>
          <a:ext cx="982980" cy="30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A21</a:t>
          </a:r>
        </a:p>
      </xdr:txBody>
    </xdr:sp>
    <xdr:clientData/>
  </xdr:twoCellAnchor>
  <xdr:twoCellAnchor>
    <xdr:from>
      <xdr:col>0</xdr:col>
      <xdr:colOff>83820</xdr:colOff>
      <xdr:row>77</xdr:row>
      <xdr:rowOff>167640</xdr:rowOff>
    </xdr:from>
    <xdr:to>
      <xdr:col>4</xdr:col>
      <xdr:colOff>15240</xdr:colOff>
      <xdr:row>85</xdr:row>
      <xdr:rowOff>30480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83820" y="13517880"/>
          <a:ext cx="2872740" cy="13258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A28</a:t>
          </a:r>
        </a:p>
        <a:p>
          <a:r>
            <a:rPr lang="en-IN" sz="1100"/>
            <a:t>count()=count fuction counts the values in table</a:t>
          </a:r>
          <a:r>
            <a:rPr lang="en-IN" sz="1100" baseline="0"/>
            <a:t> </a:t>
          </a:r>
        </a:p>
        <a:p>
          <a:r>
            <a:rPr lang="en-IN" sz="1100"/>
            <a:t>countA=countA function count the words in table or column</a:t>
          </a:r>
        </a:p>
        <a:p>
          <a:r>
            <a:rPr lang="en-IN" sz="1100"/>
            <a:t>countblank()=countblank</a:t>
          </a:r>
          <a:r>
            <a:rPr lang="en-IN" sz="1100" baseline="0"/>
            <a:t> counts the balank values in the table </a:t>
          </a:r>
          <a:endParaRPr lang="en-IN" sz="1100"/>
        </a:p>
      </xdr:txBody>
    </xdr:sp>
    <xdr:clientData/>
  </xdr:twoCellAnchor>
  <xdr:twoCellAnchor>
    <xdr:from>
      <xdr:col>0</xdr:col>
      <xdr:colOff>15240</xdr:colOff>
      <xdr:row>88</xdr:row>
      <xdr:rowOff>83820</xdr:rowOff>
    </xdr:from>
    <xdr:to>
      <xdr:col>3</xdr:col>
      <xdr:colOff>0</xdr:colOff>
      <xdr:row>94</xdr:row>
      <xdr:rowOff>38100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5240" y="15445740"/>
          <a:ext cx="2316480" cy="1051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in the condition</a:t>
          </a:r>
          <a:r>
            <a:rPr lang="en-IN" sz="1100" baseline="0"/>
            <a:t> format we can highlight the column by using filters or as per the values given in the column and it represents the values in bars</a:t>
          </a:r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419902</xdr:colOff>
      <xdr:row>3</xdr:row>
      <xdr:rowOff>50132</xdr:rowOff>
    </xdr:from>
    <xdr:to>
      <xdr:col>15</xdr:col>
      <xdr:colOff>242637</xdr:colOff>
      <xdr:row>5</xdr:row>
      <xdr:rowOff>149192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147560" y="591553"/>
          <a:ext cx="2269156" cy="46000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000">
              <a:solidFill>
                <a:srgbClr val="002060"/>
              </a:solidFill>
              <a:latin typeface="Arial Black" panose="020B0A04020102020204" pitchFamily="34" charset="0"/>
            </a:rPr>
            <a:t>Employe</a:t>
          </a:r>
          <a:r>
            <a:rPr lang="en-IN" sz="2000" baseline="0">
              <a:solidFill>
                <a:srgbClr val="002060"/>
              </a:solidFill>
              <a:latin typeface="Arial Black" panose="020B0A04020102020204" pitchFamily="34" charset="0"/>
            </a:rPr>
            <a:t> Data</a:t>
          </a:r>
          <a:endParaRPr lang="en-IN" sz="2000">
            <a:solidFill>
              <a:srgbClr val="00206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68580</xdr:colOff>
      <xdr:row>7</xdr:row>
      <xdr:rowOff>152400</xdr:rowOff>
    </xdr:from>
    <xdr:to>
      <xdr:col>15</xdr:col>
      <xdr:colOff>15240</xdr:colOff>
      <xdr:row>29</xdr:row>
      <xdr:rowOff>38100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287780" y="1432560"/>
          <a:ext cx="7871460" cy="39090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IN" sz="1100"/>
        </a:p>
      </xdr:txBody>
    </xdr:sp>
    <xdr:clientData/>
  </xdr:twoCellAnchor>
  <xdr:twoCellAnchor>
    <xdr:from>
      <xdr:col>2</xdr:col>
      <xdr:colOff>65772</xdr:colOff>
      <xdr:row>8</xdr:row>
      <xdr:rowOff>24866</xdr:rowOff>
    </xdr:from>
    <xdr:to>
      <xdr:col>8</xdr:col>
      <xdr:colOff>362952</xdr:colOff>
      <xdr:row>25</xdr:row>
      <xdr:rowOff>106279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100263</xdr:colOff>
      <xdr:row>9</xdr:row>
      <xdr:rowOff>144781</xdr:rowOff>
    </xdr:from>
    <xdr:to>
      <xdr:col>14</xdr:col>
      <xdr:colOff>237423</xdr:colOff>
      <xdr:row>25</xdr:row>
      <xdr:rowOff>15241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280738</xdr:colOff>
      <xdr:row>8</xdr:row>
      <xdr:rowOff>10027</xdr:rowOff>
    </xdr:from>
    <xdr:to>
      <xdr:col>22</xdr:col>
      <xdr:colOff>571501</xdr:colOff>
      <xdr:row>29</xdr:row>
      <xdr:rowOff>10026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7074459-2CBC-4514-82BD-925F54CC98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243840</xdr:colOff>
      <xdr:row>6</xdr:row>
      <xdr:rowOff>41910</xdr:rowOff>
    </xdr:from>
    <xdr:to>
      <xdr:col>12</xdr:col>
      <xdr:colOff>60960</xdr:colOff>
      <xdr:row>21</xdr:row>
      <xdr:rowOff>41910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AFF6D4E-C9A8-7130-AD6C-459F4BE7F9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403860</xdr:colOff>
      <xdr:row>9</xdr:row>
      <xdr:rowOff>175260</xdr:rowOff>
    </xdr:from>
    <xdr:to>
      <xdr:col>1</xdr:col>
      <xdr:colOff>213360</xdr:colOff>
      <xdr:row>11</xdr:row>
      <xdr:rowOff>76200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03860" y="1821180"/>
          <a:ext cx="54864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A3</a:t>
          </a:r>
        </a:p>
      </xdr:txBody>
    </xdr:sp>
    <xdr:clientData/>
  </xdr:twoCellAnchor>
  <xdr:twoCellAnchor>
    <xdr:from>
      <xdr:col>0</xdr:col>
      <xdr:colOff>457200</xdr:colOff>
      <xdr:row>14</xdr:row>
      <xdr:rowOff>175260</xdr:rowOff>
    </xdr:from>
    <xdr:to>
      <xdr:col>1</xdr:col>
      <xdr:colOff>274320</xdr:colOff>
      <xdr:row>15</xdr:row>
      <xdr:rowOff>175260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457200" y="2735580"/>
          <a:ext cx="556260" cy="1828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A5</a:t>
          </a:r>
        </a:p>
      </xdr:txBody>
    </xdr:sp>
    <xdr:clientData/>
  </xdr:twoCellAnchor>
  <xdr:twoCellAnchor>
    <xdr:from>
      <xdr:col>0</xdr:col>
      <xdr:colOff>502920</xdr:colOff>
      <xdr:row>17</xdr:row>
      <xdr:rowOff>91440</xdr:rowOff>
    </xdr:from>
    <xdr:to>
      <xdr:col>1</xdr:col>
      <xdr:colOff>365760</xdr:colOff>
      <xdr:row>18</xdr:row>
      <xdr:rowOff>175260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502920" y="3200400"/>
          <a:ext cx="60198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A6</a:t>
          </a:r>
        </a:p>
      </xdr:txBody>
    </xdr:sp>
    <xdr:clientData/>
  </xdr:twoCellAnchor>
  <xdr:twoCellAnchor>
    <xdr:from>
      <xdr:col>0</xdr:col>
      <xdr:colOff>167640</xdr:colOff>
      <xdr:row>23</xdr:row>
      <xdr:rowOff>83820</xdr:rowOff>
    </xdr:from>
    <xdr:to>
      <xdr:col>3</xdr:col>
      <xdr:colOff>419100</xdr:colOff>
      <xdr:row>28</xdr:row>
      <xdr:rowOff>60960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67640" y="4290060"/>
          <a:ext cx="2209800" cy="89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A8</a:t>
          </a:r>
        </a:p>
        <a:p>
          <a:r>
            <a:rPr lang="en-IN" sz="1100"/>
            <a:t>the proper is use to capital a first letter and remaing letters should be small</a:t>
          </a:r>
        </a:p>
      </xdr:txBody>
    </xdr:sp>
    <xdr:clientData/>
  </xdr:twoCellAnchor>
  <xdr:twoCellAnchor>
    <xdr:from>
      <xdr:col>1</xdr:col>
      <xdr:colOff>7620</xdr:colOff>
      <xdr:row>30</xdr:row>
      <xdr:rowOff>7620</xdr:rowOff>
    </xdr:from>
    <xdr:to>
      <xdr:col>2</xdr:col>
      <xdr:colOff>15240</xdr:colOff>
      <xdr:row>31</xdr:row>
      <xdr:rowOff>68580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746760" y="5494020"/>
          <a:ext cx="617220" cy="243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A9</a:t>
          </a:r>
        </a:p>
      </xdr:txBody>
    </xdr:sp>
    <xdr:clientData/>
  </xdr:twoCellAnchor>
  <xdr:twoCellAnchor>
    <xdr:from>
      <xdr:col>0</xdr:col>
      <xdr:colOff>411480</xdr:colOff>
      <xdr:row>32</xdr:row>
      <xdr:rowOff>0</xdr:rowOff>
    </xdr:from>
    <xdr:to>
      <xdr:col>2</xdr:col>
      <xdr:colOff>510540</xdr:colOff>
      <xdr:row>35</xdr:row>
      <xdr:rowOff>91440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411480" y="5852160"/>
          <a:ext cx="1447800" cy="6400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it is selction of cells in excel</a:t>
          </a:r>
        </a:p>
      </xdr:txBody>
    </xdr:sp>
    <xdr:clientData/>
  </xdr:twoCellAnchor>
  <xdr:twoCellAnchor>
    <xdr:from>
      <xdr:col>0</xdr:col>
      <xdr:colOff>693420</xdr:colOff>
      <xdr:row>37</xdr:row>
      <xdr:rowOff>15240</xdr:rowOff>
    </xdr:from>
    <xdr:to>
      <xdr:col>4</xdr:col>
      <xdr:colOff>365760</xdr:colOff>
      <xdr:row>41</xdr:row>
      <xdr:rowOff>53340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693420" y="6781800"/>
          <a:ext cx="2240280" cy="7696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A10</a:t>
          </a:r>
          <a:r>
            <a:rPr lang="en-IN" sz="1100" baseline="0"/>
            <a:t>  == to genaerate develper tab we have go in file --in options ---then in custumize ribbion and add developer tab</a:t>
          </a:r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426720</xdr:colOff>
          <xdr:row>39</xdr:row>
          <xdr:rowOff>91440</xdr:rowOff>
        </xdr:from>
        <xdr:to>
          <xdr:col>6</xdr:col>
          <xdr:colOff>259080</xdr:colOff>
          <xdr:row>40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45</xdr:row>
      <xdr:rowOff>68580</xdr:rowOff>
    </xdr:from>
    <xdr:to>
      <xdr:col>1</xdr:col>
      <xdr:colOff>586740</xdr:colOff>
      <xdr:row>46</xdr:row>
      <xdr:rowOff>45720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739140" y="8298180"/>
          <a:ext cx="586740" cy="1600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A11</a:t>
          </a:r>
        </a:p>
      </xdr:txBody>
    </xdr:sp>
    <xdr:clientData/>
  </xdr:twoCellAnchor>
  <xdr:twoCellAnchor>
    <xdr:from>
      <xdr:col>0</xdr:col>
      <xdr:colOff>723900</xdr:colOff>
      <xdr:row>51</xdr:row>
      <xdr:rowOff>0</xdr:rowOff>
    </xdr:from>
    <xdr:to>
      <xdr:col>2</xdr:col>
      <xdr:colOff>30480</xdr:colOff>
      <xdr:row>52</xdr:row>
      <xdr:rowOff>15240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723900" y="9326880"/>
          <a:ext cx="655320" cy="1981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A12</a:t>
          </a:r>
        </a:p>
        <a:p>
          <a:endParaRPr lang="en-IN" sz="1100"/>
        </a:p>
      </xdr:txBody>
    </xdr:sp>
    <xdr:clientData/>
  </xdr:twoCellAnchor>
  <xdr:twoCellAnchor>
    <xdr:from>
      <xdr:col>0</xdr:col>
      <xdr:colOff>152400</xdr:colOff>
      <xdr:row>74</xdr:row>
      <xdr:rowOff>144780</xdr:rowOff>
    </xdr:from>
    <xdr:to>
      <xdr:col>1</xdr:col>
      <xdr:colOff>335280</xdr:colOff>
      <xdr:row>76</xdr:row>
      <xdr:rowOff>53340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52400" y="13677900"/>
          <a:ext cx="922020" cy="274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A13</a:t>
          </a:r>
        </a:p>
      </xdr:txBody>
    </xdr:sp>
    <xdr:clientData/>
  </xdr:twoCellAnchor>
  <xdr:twoCellAnchor>
    <xdr:from>
      <xdr:col>0</xdr:col>
      <xdr:colOff>198120</xdr:colOff>
      <xdr:row>79</xdr:row>
      <xdr:rowOff>114300</xdr:rowOff>
    </xdr:from>
    <xdr:to>
      <xdr:col>1</xdr:col>
      <xdr:colOff>137160</xdr:colOff>
      <xdr:row>80</xdr:row>
      <xdr:rowOff>144780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198120" y="14561820"/>
          <a:ext cx="678180" cy="2133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A14</a:t>
          </a:r>
        </a:p>
      </xdr:txBody>
    </xdr:sp>
    <xdr:clientData/>
  </xdr:twoCellAnchor>
  <xdr:twoCellAnchor>
    <xdr:from>
      <xdr:col>0</xdr:col>
      <xdr:colOff>30480</xdr:colOff>
      <xdr:row>108</xdr:row>
      <xdr:rowOff>76200</xdr:rowOff>
    </xdr:from>
    <xdr:to>
      <xdr:col>1</xdr:col>
      <xdr:colOff>7620</xdr:colOff>
      <xdr:row>109</xdr:row>
      <xdr:rowOff>121920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0480" y="19827240"/>
          <a:ext cx="1036320" cy="228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A18</a:t>
          </a:r>
        </a:p>
      </xdr:txBody>
    </xdr:sp>
    <xdr:clientData/>
  </xdr:twoCellAnchor>
  <xdr:twoCellAnchor>
    <xdr:from>
      <xdr:col>0</xdr:col>
      <xdr:colOff>60960</xdr:colOff>
      <xdr:row>114</xdr:row>
      <xdr:rowOff>83820</xdr:rowOff>
    </xdr:from>
    <xdr:to>
      <xdr:col>0</xdr:col>
      <xdr:colOff>899160</xdr:colOff>
      <xdr:row>115</xdr:row>
      <xdr:rowOff>160020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60960" y="20932140"/>
          <a:ext cx="838200" cy="2590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A19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nyaneshwar More" refreshedDate="45457.689000925922" createdVersion="8" refreshedVersion="8" minRefreshableVersion="3" recordCount="6" xr:uid="{E2E1F357-6BB7-49B8-A1B3-82CF7048BCC3}">
  <cacheSource type="worksheet">
    <worksheetSource ref="A1:G7" sheet="answer"/>
  </cacheSource>
  <cacheFields count="7">
    <cacheField name="EmployeeID" numFmtId="0">
      <sharedItems containsSemiMixedTypes="0" containsString="0" containsNumber="1" containsInteger="1" minValue="1" maxValue="6" count="6">
        <n v="1"/>
        <n v="2"/>
        <n v="3"/>
        <n v="4"/>
        <n v="5"/>
        <n v="6"/>
      </sharedItems>
    </cacheField>
    <cacheField name="FirstName" numFmtId="0">
      <sharedItems count="6">
        <s v="John"/>
        <s v="Jane"/>
        <s v="Sam"/>
        <s v="Lisa"/>
        <s v="Tom"/>
        <s v="Eva"/>
      </sharedItems>
    </cacheField>
    <cacheField name="LastName" numFmtId="0">
      <sharedItems/>
    </cacheField>
    <cacheField name="Department" numFmtId="0">
      <sharedItems count="3">
        <s v="IT"/>
        <s v="HR"/>
        <s v="Finance"/>
      </sharedItems>
    </cacheField>
    <cacheField name="Salary" numFmtId="0">
      <sharedItems containsSemiMixedTypes="0" containsString="0" containsNumber="1" containsInteger="1" minValue="50000" maxValue="70000" count="6">
        <n v="60000"/>
        <n v="55000"/>
        <n v="70000"/>
        <n v="58000"/>
        <n v="50000"/>
        <n v="65000"/>
      </sharedItems>
    </cacheField>
    <cacheField name="JoiningDate" numFmtId="14">
      <sharedItems containsSemiMixedTypes="0" containsNonDate="0" containsDate="1" containsString="0" minDate="2017-08-30T00:00:00" maxDate="2021-06-11T00:00:00"/>
    </cacheField>
    <cacheField name="ManagerID" numFmtId="0">
      <sharedItems containsString="0" containsBlank="1" containsNumber="1" containsInteger="1" minValue="3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s v="Doe"/>
    <x v="0"/>
    <x v="0"/>
    <d v="2020-01-15T00:00:00"/>
    <n v="3"/>
  </r>
  <r>
    <x v="1"/>
    <x v="1"/>
    <s v="Smith"/>
    <x v="1"/>
    <x v="1"/>
    <d v="2019-03-12T00:00:00"/>
    <n v="4"/>
  </r>
  <r>
    <x v="2"/>
    <x v="2"/>
    <s v="Brown"/>
    <x v="0"/>
    <x v="2"/>
    <d v="2018-07-22T00:00:00"/>
    <m/>
  </r>
  <r>
    <x v="3"/>
    <x v="3"/>
    <s v="White"/>
    <x v="1"/>
    <x v="3"/>
    <d v="2021-06-10T00:00:00"/>
    <m/>
  </r>
  <r>
    <x v="4"/>
    <x v="4"/>
    <s v="Black"/>
    <x v="2"/>
    <x v="4"/>
    <d v="2020-11-01T00:00:00"/>
    <n v="6"/>
  </r>
  <r>
    <x v="5"/>
    <x v="5"/>
    <s v="Green"/>
    <x v="2"/>
    <x v="5"/>
    <d v="2017-08-30T00:00:0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DBB0D0-81B7-4A31-95FC-BE06710445F2}" name="PivotTable2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3:B16" firstHeaderRow="1" firstDataRow="1" firstDataCol="1"/>
  <pivotFields count="7">
    <pivotField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7">
        <item x="5"/>
        <item x="1"/>
        <item x="0"/>
        <item x="3"/>
        <item x="2"/>
        <item x="4"/>
        <item t="default"/>
      </items>
    </pivotField>
    <pivotField showAll="0"/>
    <pivotField showAll="0">
      <items count="4">
        <item x="2"/>
        <item x="1"/>
        <item x="0"/>
        <item t="default"/>
      </items>
    </pivotField>
    <pivotField axis="axisRow" dataField="1" showAll="0">
      <items count="7">
        <item x="4"/>
        <item x="1"/>
        <item x="3"/>
        <item x="0"/>
        <item x="5"/>
        <item x="2"/>
        <item t="default"/>
      </items>
    </pivotField>
    <pivotField numFmtId="14" showAll="0"/>
    <pivotField showAll="0"/>
  </pivotFields>
  <rowFields count="2">
    <field x="4"/>
    <field x="1"/>
  </rowFields>
  <rowItems count="13">
    <i>
      <x/>
    </i>
    <i r="1">
      <x v="5"/>
    </i>
    <i>
      <x v="1"/>
    </i>
    <i r="1">
      <x v="1"/>
    </i>
    <i>
      <x v="2"/>
    </i>
    <i r="1">
      <x v="3"/>
    </i>
    <i>
      <x v="3"/>
    </i>
    <i r="1">
      <x v="2"/>
    </i>
    <i>
      <x v="4"/>
    </i>
    <i r="1">
      <x/>
    </i>
    <i>
      <x v="5"/>
    </i>
    <i r="1">
      <x v="4"/>
    </i>
    <i t="grand">
      <x/>
    </i>
  </rowItems>
  <colItems count="1">
    <i/>
  </colItems>
  <dataFields count="1">
    <dataField name="Count of Salary" fld="4" subtotal="count" baseField="0" baseItem="0"/>
  </dataFields>
  <chartFormats count="2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</references>
      </pivotArea>
    </chartFormat>
    <chartFormat chart="2" format="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2" format="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2" format="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3"/>
          </reference>
        </references>
      </pivotArea>
    </chartFormat>
    <chartFormat chart="2" format="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4"/>
          </reference>
        </references>
      </pivotArea>
    </chartFormat>
    <chartFormat chart="2" format="7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5"/>
          </reference>
        </references>
      </pivotArea>
    </chartFormat>
    <chartFormat chart="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9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</references>
      </pivotArea>
    </chartFormat>
    <chartFormat chart="7" format="1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7" format="1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7" format="1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3"/>
          </reference>
        </references>
      </pivotArea>
    </chartFormat>
    <chartFormat chart="7" format="1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4"/>
          </reference>
        </references>
      </pivotArea>
    </chartFormat>
    <chartFormat chart="7" format="14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5"/>
          </reference>
        </references>
      </pivotArea>
    </chartFormat>
    <chartFormat chart="8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6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</references>
      </pivotArea>
    </chartFormat>
    <chartFormat chart="8" format="1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8" format="1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8" format="1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3"/>
          </reference>
        </references>
      </pivotArea>
    </chartFormat>
    <chartFormat chart="8" format="2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4"/>
          </reference>
        </references>
      </pivotArea>
    </chartFormat>
    <chartFormat chart="8" format="2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5"/>
          </reference>
        </references>
      </pivotArea>
    </chartFormat>
    <chartFormat chart="12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D293E7-8FE5-4BF2-B2F1-10CB400BE42E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3:E5" firstHeaderRow="1" firstDataRow="2" firstDataCol="1"/>
  <pivotFields count="7">
    <pivotField showAll="0"/>
    <pivotField showAll="0"/>
    <pivotField showAll="0"/>
    <pivotField axis="axisCol" showAll="0">
      <items count="4">
        <item x="2"/>
        <item x="1"/>
        <item x="0"/>
        <item t="default"/>
      </items>
    </pivotField>
    <pivotField dataField="1" showAll="0">
      <items count="7">
        <item x="4"/>
        <item x="1"/>
        <item x="3"/>
        <item x="0"/>
        <item x="5"/>
        <item x="2"/>
        <item t="default"/>
      </items>
    </pivotField>
    <pivotField numFmtId="14" showAll="0"/>
    <pivotField showAll="0"/>
  </pivotFields>
  <rowItems count="1">
    <i/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Sum of Salary" fld="4" baseField="0" baseItem="0"/>
  </dataFields>
  <chartFormats count="12">
    <chartFormat chart="5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5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6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6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6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7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7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7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8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8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8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8F93C-641D-440E-865D-9B36D643BD79}">
  <sheetPr filterMode="1"/>
  <dimension ref="A3:H97"/>
  <sheetViews>
    <sheetView zoomScale="80" workbookViewId="0">
      <selection activeCell="J23" sqref="J23"/>
    </sheetView>
  </sheetViews>
  <sheetFormatPr defaultRowHeight="14.4" x14ac:dyDescent="0.3"/>
  <cols>
    <col min="1" max="1" width="13.33203125" bestFit="1" customWidth="1"/>
    <col min="2" max="2" width="14" bestFit="1" customWidth="1"/>
    <col min="3" max="3" width="18" bestFit="1" customWidth="1"/>
    <col min="5" max="5" width="10.77734375" bestFit="1" customWidth="1"/>
    <col min="6" max="6" width="10.44140625" bestFit="1" customWidth="1"/>
    <col min="7" max="7" width="12.21875" bestFit="1" customWidth="1"/>
  </cols>
  <sheetData>
    <row r="3" spans="1:2" x14ac:dyDescent="0.3">
      <c r="A3" s="6" t="s">
        <v>33</v>
      </c>
      <c r="B3" t="s">
        <v>42</v>
      </c>
    </row>
    <row r="4" spans="1:2" x14ac:dyDescent="0.3">
      <c r="A4" s="7">
        <v>50000</v>
      </c>
      <c r="B4">
        <v>1</v>
      </c>
    </row>
    <row r="5" spans="1:2" x14ac:dyDescent="0.3">
      <c r="A5" s="8" t="s">
        <v>17</v>
      </c>
      <c r="B5">
        <v>1</v>
      </c>
    </row>
    <row r="6" spans="1:2" x14ac:dyDescent="0.3">
      <c r="A6" s="7">
        <v>55000</v>
      </c>
      <c r="B6">
        <v>1</v>
      </c>
    </row>
    <row r="7" spans="1:2" x14ac:dyDescent="0.3">
      <c r="A7" s="8" t="s">
        <v>10</v>
      </c>
      <c r="B7">
        <v>1</v>
      </c>
    </row>
    <row r="8" spans="1:2" x14ac:dyDescent="0.3">
      <c r="A8" s="7">
        <v>58000</v>
      </c>
      <c r="B8">
        <v>1</v>
      </c>
    </row>
    <row r="9" spans="1:2" x14ac:dyDescent="0.3">
      <c r="A9" s="8" t="s">
        <v>15</v>
      </c>
      <c r="B9">
        <v>1</v>
      </c>
    </row>
    <row r="10" spans="1:2" x14ac:dyDescent="0.3">
      <c r="A10" s="7">
        <v>60000</v>
      </c>
      <c r="B10">
        <v>1</v>
      </c>
    </row>
    <row r="11" spans="1:2" x14ac:dyDescent="0.3">
      <c r="A11" s="8" t="s">
        <v>7</v>
      </c>
      <c r="B11">
        <v>1</v>
      </c>
    </row>
    <row r="12" spans="1:2" x14ac:dyDescent="0.3">
      <c r="A12" s="7">
        <v>65000</v>
      </c>
      <c r="B12">
        <v>1</v>
      </c>
    </row>
    <row r="13" spans="1:2" x14ac:dyDescent="0.3">
      <c r="A13" s="8" t="s">
        <v>20</v>
      </c>
      <c r="B13">
        <v>1</v>
      </c>
    </row>
    <row r="14" spans="1:2" x14ac:dyDescent="0.3">
      <c r="A14" s="7">
        <v>70000</v>
      </c>
      <c r="B14">
        <v>1</v>
      </c>
    </row>
    <row r="15" spans="1:2" x14ac:dyDescent="0.3">
      <c r="A15" s="8" t="s">
        <v>13</v>
      </c>
      <c r="B15">
        <v>1</v>
      </c>
    </row>
    <row r="16" spans="1:2" x14ac:dyDescent="0.3">
      <c r="A16" s="7" t="s">
        <v>34</v>
      </c>
      <c r="B16">
        <v>6</v>
      </c>
    </row>
    <row r="23" spans="1:7" x14ac:dyDescent="0.3">
      <c r="A23" s="1" t="s">
        <v>0</v>
      </c>
      <c r="B23" s="1" t="s">
        <v>1</v>
      </c>
      <c r="C23" s="1" t="s">
        <v>2</v>
      </c>
      <c r="D23" s="1" t="s">
        <v>3</v>
      </c>
      <c r="E23" s="1" t="s">
        <v>4</v>
      </c>
      <c r="F23" s="1" t="s">
        <v>5</v>
      </c>
      <c r="G23" s="1" t="s">
        <v>6</v>
      </c>
    </row>
    <row r="24" spans="1:7" x14ac:dyDescent="0.3">
      <c r="A24" s="2">
        <v>1</v>
      </c>
      <c r="B24" s="1" t="s">
        <v>7</v>
      </c>
      <c r="C24" s="1" t="s">
        <v>8</v>
      </c>
      <c r="D24" s="1" t="s">
        <v>9</v>
      </c>
      <c r="E24" s="2">
        <v>60000</v>
      </c>
      <c r="F24" s="3">
        <v>43845</v>
      </c>
      <c r="G24" s="2">
        <v>3</v>
      </c>
    </row>
    <row r="25" spans="1:7" x14ac:dyDescent="0.3">
      <c r="A25" s="2">
        <v>2</v>
      </c>
      <c r="B25" s="1" t="s">
        <v>10</v>
      </c>
      <c r="C25" s="1" t="s">
        <v>11</v>
      </c>
      <c r="D25" s="1" t="s">
        <v>12</v>
      </c>
      <c r="E25" s="2">
        <v>55000</v>
      </c>
      <c r="F25" s="3">
        <v>43536</v>
      </c>
      <c r="G25" s="2">
        <v>4</v>
      </c>
    </row>
    <row r="26" spans="1:7" x14ac:dyDescent="0.3">
      <c r="A26" s="2">
        <v>3</v>
      </c>
      <c r="B26" s="1" t="s">
        <v>13</v>
      </c>
      <c r="C26" s="1" t="s">
        <v>14</v>
      </c>
      <c r="D26" s="1" t="s">
        <v>9</v>
      </c>
      <c r="E26" s="2">
        <v>70000</v>
      </c>
      <c r="F26" s="3">
        <v>43303</v>
      </c>
    </row>
    <row r="27" spans="1:7" x14ac:dyDescent="0.3">
      <c r="A27" s="2">
        <v>4</v>
      </c>
      <c r="B27" s="1" t="s">
        <v>15</v>
      </c>
      <c r="C27" s="1" t="s">
        <v>16</v>
      </c>
      <c r="D27" s="1" t="s">
        <v>12</v>
      </c>
      <c r="E27" s="2">
        <v>58000</v>
      </c>
      <c r="F27" s="3">
        <v>44357</v>
      </c>
    </row>
    <row r="28" spans="1:7" x14ac:dyDescent="0.3">
      <c r="A28" s="2">
        <v>5</v>
      </c>
      <c r="B28" s="1" t="s">
        <v>17</v>
      </c>
      <c r="C28" s="1" t="s">
        <v>18</v>
      </c>
      <c r="D28" s="1" t="s">
        <v>19</v>
      </c>
      <c r="E28" s="2">
        <v>50000</v>
      </c>
      <c r="F28" s="3">
        <v>44136</v>
      </c>
      <c r="G28" s="2">
        <v>6</v>
      </c>
    </row>
    <row r="29" spans="1:7" x14ac:dyDescent="0.3">
      <c r="A29" s="2">
        <v>6</v>
      </c>
      <c r="B29" s="1" t="s">
        <v>20</v>
      </c>
      <c r="C29" s="1" t="s">
        <v>21</v>
      </c>
      <c r="D29" s="1" t="s">
        <v>19</v>
      </c>
      <c r="E29" s="2">
        <v>65000</v>
      </c>
      <c r="F29" s="3">
        <v>42977</v>
      </c>
    </row>
    <row r="36" spans="1:8" x14ac:dyDescent="0.3">
      <c r="A36" s="1" t="s">
        <v>0</v>
      </c>
      <c r="B36" s="1" t="s">
        <v>1</v>
      </c>
      <c r="C36" s="1" t="s">
        <v>2</v>
      </c>
      <c r="D36" s="1" t="s">
        <v>3</v>
      </c>
      <c r="E36" s="1" t="s">
        <v>4</v>
      </c>
      <c r="F36" s="1" t="s">
        <v>5</v>
      </c>
      <c r="G36" s="1" t="s">
        <v>6</v>
      </c>
    </row>
    <row r="37" spans="1:8" x14ac:dyDescent="0.3">
      <c r="A37" s="2">
        <v>1</v>
      </c>
      <c r="B37" s="1" t="s">
        <v>7</v>
      </c>
      <c r="C37" s="1" t="s">
        <v>8</v>
      </c>
      <c r="D37" s="1" t="s">
        <v>9</v>
      </c>
      <c r="E37" s="2">
        <v>60000</v>
      </c>
      <c r="F37" s="3">
        <v>43845</v>
      </c>
      <c r="G37" s="2">
        <v>3</v>
      </c>
    </row>
    <row r="38" spans="1:8" x14ac:dyDescent="0.3">
      <c r="A38" s="2">
        <v>2</v>
      </c>
      <c r="B38" s="1" t="s">
        <v>10</v>
      </c>
      <c r="C38" s="1" t="s">
        <v>11</v>
      </c>
      <c r="D38" s="1" t="s">
        <v>12</v>
      </c>
      <c r="E38" s="2">
        <v>55000</v>
      </c>
      <c r="F38" s="3">
        <v>43536</v>
      </c>
      <c r="G38" s="2">
        <v>4</v>
      </c>
    </row>
    <row r="39" spans="1:8" x14ac:dyDescent="0.3">
      <c r="A39" s="2">
        <v>3</v>
      </c>
      <c r="B39" s="1" t="s">
        <v>13</v>
      </c>
      <c r="C39" s="1" t="s">
        <v>14</v>
      </c>
      <c r="D39" s="1" t="s">
        <v>9</v>
      </c>
      <c r="E39" s="2">
        <v>70000</v>
      </c>
      <c r="F39" s="3">
        <v>43303</v>
      </c>
    </row>
    <row r="40" spans="1:8" x14ac:dyDescent="0.3">
      <c r="A40" s="2">
        <v>4</v>
      </c>
      <c r="B40" s="1" t="s">
        <v>15</v>
      </c>
      <c r="C40" s="1" t="s">
        <v>16</v>
      </c>
      <c r="D40" s="1" t="s">
        <v>12</v>
      </c>
      <c r="E40" s="2">
        <v>58000</v>
      </c>
      <c r="F40" s="3">
        <v>44357</v>
      </c>
    </row>
    <row r="41" spans="1:8" x14ac:dyDescent="0.3">
      <c r="A41" s="2">
        <v>5</v>
      </c>
      <c r="B41" s="1" t="s">
        <v>17</v>
      </c>
      <c r="C41" s="1" t="s">
        <v>18</v>
      </c>
      <c r="D41" s="1" t="s">
        <v>19</v>
      </c>
      <c r="E41" s="2">
        <v>50000</v>
      </c>
      <c r="F41" s="3">
        <v>44136</v>
      </c>
      <c r="G41" s="2">
        <v>6</v>
      </c>
    </row>
    <row r="42" spans="1:8" x14ac:dyDescent="0.3">
      <c r="A42" s="2">
        <v>6</v>
      </c>
      <c r="B42" s="1" t="s">
        <v>20</v>
      </c>
      <c r="C42" s="1" t="s">
        <v>21</v>
      </c>
      <c r="D42" s="1" t="s">
        <v>19</v>
      </c>
      <c r="E42" s="2">
        <v>65000</v>
      </c>
      <c r="F42" s="3">
        <v>42977</v>
      </c>
    </row>
    <row r="46" spans="1:8" x14ac:dyDescent="0.3">
      <c r="A46" t="s">
        <v>35</v>
      </c>
    </row>
    <row r="47" spans="1:8" x14ac:dyDescent="0.3">
      <c r="B47" s="1" t="s">
        <v>0</v>
      </c>
      <c r="C47" s="1" t="s">
        <v>1</v>
      </c>
      <c r="D47" s="1" t="s">
        <v>2</v>
      </c>
      <c r="E47" s="1" t="s">
        <v>3</v>
      </c>
      <c r="F47" s="1" t="s">
        <v>4</v>
      </c>
      <c r="G47" s="1" t="s">
        <v>5</v>
      </c>
      <c r="H47" s="1" t="s">
        <v>6</v>
      </c>
    </row>
    <row r="48" spans="1:8" x14ac:dyDescent="0.3">
      <c r="B48" s="2">
        <v>1</v>
      </c>
      <c r="C48" s="1" t="s">
        <v>7</v>
      </c>
      <c r="D48" s="1" t="s">
        <v>8</v>
      </c>
      <c r="E48" s="1" t="s">
        <v>9</v>
      </c>
      <c r="F48" s="2">
        <v>60000</v>
      </c>
      <c r="G48" s="3">
        <v>43845</v>
      </c>
      <c r="H48" s="2">
        <v>3</v>
      </c>
    </row>
    <row r="49" spans="1:8" hidden="1" x14ac:dyDescent="0.3">
      <c r="B49" s="2">
        <v>2</v>
      </c>
      <c r="C49" s="1" t="s">
        <v>10</v>
      </c>
      <c r="D49" s="1" t="s">
        <v>11</v>
      </c>
      <c r="E49" s="1" t="s">
        <v>12</v>
      </c>
      <c r="F49" s="2">
        <v>55000</v>
      </c>
      <c r="G49" s="3">
        <v>43536</v>
      </c>
      <c r="H49" s="2">
        <v>4</v>
      </c>
    </row>
    <row r="50" spans="1:8" x14ac:dyDescent="0.3">
      <c r="B50" s="2">
        <v>3</v>
      </c>
      <c r="C50" s="1" t="s">
        <v>13</v>
      </c>
      <c r="D50" s="1" t="s">
        <v>14</v>
      </c>
      <c r="E50" s="1" t="s">
        <v>9</v>
      </c>
      <c r="F50" s="2">
        <v>70000</v>
      </c>
      <c r="G50" s="3">
        <v>43303</v>
      </c>
    </row>
    <row r="51" spans="1:8" hidden="1" x14ac:dyDescent="0.3">
      <c r="B51" s="2">
        <v>4</v>
      </c>
      <c r="C51" s="1" t="s">
        <v>15</v>
      </c>
      <c r="D51" s="1" t="s">
        <v>16</v>
      </c>
      <c r="E51" s="1" t="s">
        <v>12</v>
      </c>
      <c r="F51" s="2">
        <v>58000</v>
      </c>
      <c r="G51" s="3">
        <v>44357</v>
      </c>
    </row>
    <row r="52" spans="1:8" hidden="1" x14ac:dyDescent="0.3">
      <c r="B52" s="2">
        <v>5</v>
      </c>
      <c r="C52" s="1" t="s">
        <v>17</v>
      </c>
      <c r="D52" s="1" t="s">
        <v>18</v>
      </c>
      <c r="E52" s="1" t="s">
        <v>19</v>
      </c>
      <c r="F52" s="2">
        <v>50000</v>
      </c>
      <c r="G52" s="3">
        <v>44136</v>
      </c>
      <c r="H52" s="2">
        <v>6</v>
      </c>
    </row>
    <row r="53" spans="1:8" hidden="1" x14ac:dyDescent="0.3">
      <c r="B53" s="2">
        <v>6</v>
      </c>
      <c r="C53" s="1" t="s">
        <v>20</v>
      </c>
      <c r="D53" s="1" t="s">
        <v>21</v>
      </c>
      <c r="E53" s="1" t="s">
        <v>19</v>
      </c>
      <c r="F53" s="2">
        <v>65000</v>
      </c>
      <c r="G53" s="3">
        <v>42977</v>
      </c>
    </row>
    <row r="58" spans="1:8" x14ac:dyDescent="0.3">
      <c r="A58" t="s">
        <v>36</v>
      </c>
    </row>
    <row r="60" spans="1:8" x14ac:dyDescent="0.3">
      <c r="A60" s="1" t="s">
        <v>0</v>
      </c>
      <c r="B60" s="1" t="s">
        <v>1</v>
      </c>
      <c r="C60" s="1" t="s">
        <v>2</v>
      </c>
      <c r="D60" s="1" t="s">
        <v>3</v>
      </c>
      <c r="E60" s="1" t="s">
        <v>4</v>
      </c>
      <c r="F60" s="1" t="s">
        <v>5</v>
      </c>
      <c r="G60" s="1" t="s">
        <v>6</v>
      </c>
    </row>
    <row r="61" spans="1:8" x14ac:dyDescent="0.3">
      <c r="A61" s="2">
        <v>3</v>
      </c>
      <c r="B61" s="1" t="s">
        <v>13</v>
      </c>
      <c r="C61" s="1" t="s">
        <v>14</v>
      </c>
      <c r="D61" s="1" t="s">
        <v>9</v>
      </c>
      <c r="E61" s="2">
        <v>70000</v>
      </c>
      <c r="F61" s="3">
        <v>43303</v>
      </c>
    </row>
    <row r="62" spans="1:8" x14ac:dyDescent="0.3">
      <c r="A62" s="2">
        <v>6</v>
      </c>
      <c r="B62" s="1" t="s">
        <v>20</v>
      </c>
      <c r="C62" s="1" t="s">
        <v>21</v>
      </c>
      <c r="D62" s="1" t="s">
        <v>19</v>
      </c>
      <c r="E62" s="2">
        <v>65000</v>
      </c>
      <c r="F62" s="3">
        <v>42977</v>
      </c>
    </row>
    <row r="63" spans="1:8" x14ac:dyDescent="0.3">
      <c r="A63" s="2">
        <v>1</v>
      </c>
      <c r="B63" s="1" t="s">
        <v>7</v>
      </c>
      <c r="C63" s="1" t="s">
        <v>8</v>
      </c>
      <c r="D63" s="1" t="s">
        <v>9</v>
      </c>
      <c r="E63" s="2">
        <v>60000</v>
      </c>
      <c r="F63" s="3">
        <v>43845</v>
      </c>
      <c r="G63" s="2">
        <v>3</v>
      </c>
    </row>
    <row r="64" spans="1:8" x14ac:dyDescent="0.3">
      <c r="A64" s="2">
        <v>4</v>
      </c>
      <c r="B64" s="1" t="s">
        <v>15</v>
      </c>
      <c r="C64" s="1" t="s">
        <v>16</v>
      </c>
      <c r="D64" s="1" t="s">
        <v>12</v>
      </c>
      <c r="E64" s="2">
        <v>58000</v>
      </c>
      <c r="F64" s="3">
        <v>44357</v>
      </c>
    </row>
    <row r="65" spans="1:7" x14ac:dyDescent="0.3">
      <c r="A65" s="2">
        <v>2</v>
      </c>
      <c r="B65" s="1" t="s">
        <v>10</v>
      </c>
      <c r="C65" s="1" t="s">
        <v>11</v>
      </c>
      <c r="D65" s="1" t="s">
        <v>12</v>
      </c>
      <c r="E65" s="2">
        <v>55000</v>
      </c>
      <c r="F65" s="3">
        <v>43536</v>
      </c>
      <c r="G65" s="2">
        <v>4</v>
      </c>
    </row>
    <row r="66" spans="1:7" x14ac:dyDescent="0.3">
      <c r="A66" s="2">
        <v>5</v>
      </c>
      <c r="B66" s="1" t="s">
        <v>17</v>
      </c>
      <c r="C66" s="1" t="s">
        <v>18</v>
      </c>
      <c r="D66" s="1" t="s">
        <v>19</v>
      </c>
      <c r="E66" s="2">
        <v>50000</v>
      </c>
      <c r="F66" s="3">
        <v>44136</v>
      </c>
      <c r="G66" s="2">
        <v>6</v>
      </c>
    </row>
    <row r="69" spans="1:7" x14ac:dyDescent="0.3">
      <c r="A69" t="s">
        <v>37</v>
      </c>
    </row>
    <row r="71" spans="1:7" x14ac:dyDescent="0.3">
      <c r="A71">
        <f>AVERAGE(F47:F50)</f>
        <v>61666.666666666664</v>
      </c>
    </row>
    <row r="74" spans="1:7" x14ac:dyDescent="0.3">
      <c r="A74" t="s">
        <v>39</v>
      </c>
    </row>
    <row r="75" spans="1:7" x14ac:dyDescent="0.3">
      <c r="A75" t="s">
        <v>38</v>
      </c>
    </row>
    <row r="88" spans="1:1" x14ac:dyDescent="0.3">
      <c r="A88" t="s">
        <v>40</v>
      </c>
    </row>
    <row r="97" spans="1:1" x14ac:dyDescent="0.3">
      <c r="A97" t="s">
        <v>41</v>
      </c>
    </row>
  </sheetData>
  <autoFilter ref="A47:H53" xr:uid="{F938F93C-641D-440E-865D-9B36D643BD79}">
    <filterColumn colId="4">
      <filters>
        <filter val="IT"/>
      </filters>
    </filterColumn>
  </autoFilter>
  <sortState xmlns:xlrd2="http://schemas.microsoft.com/office/spreadsheetml/2017/richdata2" ref="A61:G66">
    <sortCondition descending="1" ref="E61:E66"/>
  </sortState>
  <conditionalFormatting sqref="E36:E42">
    <cfRule type="cellIs" dxfId="0" priority="2" operator="greaterThan">
      <formula>60000</formula>
    </cfRule>
  </conditionalFormatting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D181F-8637-4ADD-8EC4-FDF43265BA37}">
  <dimension ref="A1"/>
  <sheetViews>
    <sheetView tabSelected="1" topLeftCell="A2" zoomScale="76" workbookViewId="0">
      <selection activeCell="G7" sqref="G7"/>
    </sheetView>
  </sheetViews>
  <sheetFormatPr defaultRowHeight="14.4" x14ac:dyDescent="0.3"/>
  <cols>
    <col min="1" max="16384" width="8.88671875" style="9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8C430-2B58-4B06-B76B-3CA508A83984}">
  <dimension ref="A3:E5"/>
  <sheetViews>
    <sheetView workbookViewId="0">
      <selection activeCell="A3" sqref="A3"/>
    </sheetView>
  </sheetViews>
  <sheetFormatPr defaultRowHeight="14.4" x14ac:dyDescent="0.3"/>
  <cols>
    <col min="1" max="1" width="12.5546875" bestFit="1" customWidth="1"/>
    <col min="2" max="2" width="15.5546875" bestFit="1" customWidth="1"/>
    <col min="3" max="4" width="7" bestFit="1" customWidth="1"/>
    <col min="5" max="5" width="10.77734375" bestFit="1" customWidth="1"/>
    <col min="6" max="7" width="6" bestFit="1" customWidth="1"/>
    <col min="8" max="8" width="10.77734375" bestFit="1" customWidth="1"/>
    <col min="9" max="9" width="7.21875" bestFit="1" customWidth="1"/>
    <col min="10" max="10" width="10.77734375" bestFit="1" customWidth="1"/>
  </cols>
  <sheetData>
    <row r="3" spans="1:5" x14ac:dyDescent="0.3">
      <c r="B3" s="6" t="s">
        <v>43</v>
      </c>
    </row>
    <row r="4" spans="1:5" x14ac:dyDescent="0.3">
      <c r="B4" t="s">
        <v>19</v>
      </c>
      <c r="C4" t="s">
        <v>12</v>
      </c>
      <c r="D4" t="s">
        <v>9</v>
      </c>
      <c r="E4" t="s">
        <v>34</v>
      </c>
    </row>
    <row r="5" spans="1:5" x14ac:dyDescent="0.3">
      <c r="A5" t="s">
        <v>44</v>
      </c>
      <c r="B5" s="10">
        <v>115000</v>
      </c>
      <c r="C5" s="10">
        <v>113000</v>
      </c>
      <c r="D5" s="10">
        <v>130000</v>
      </c>
      <c r="E5" s="10">
        <v>358000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78448-D217-4A23-B724-F99F6E2F62A0}">
  <dimension ref="A1:L101"/>
  <sheetViews>
    <sheetView workbookViewId="0">
      <selection sqref="A1:G7"/>
    </sheetView>
  </sheetViews>
  <sheetFormatPr defaultRowHeight="14.4" x14ac:dyDescent="0.3"/>
  <cols>
    <col min="1" max="1" width="15.44140625" bestFit="1" customWidth="1"/>
    <col min="4" max="4" width="10.77734375" bestFit="1" customWidth="1"/>
    <col min="5" max="5" width="8.6640625" customWidth="1"/>
    <col min="6" max="6" width="10.44140625" bestFit="1" customWidth="1"/>
    <col min="7" max="7" width="10" bestFit="1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12" x14ac:dyDescent="0.3">
      <c r="A2" s="2">
        <v>1</v>
      </c>
      <c r="B2" s="1" t="s">
        <v>7</v>
      </c>
      <c r="C2" s="1" t="s">
        <v>8</v>
      </c>
      <c r="D2" s="1" t="s">
        <v>9</v>
      </c>
      <c r="E2" s="2">
        <v>60000</v>
      </c>
      <c r="F2" s="3">
        <v>43845</v>
      </c>
      <c r="G2" s="2">
        <v>3</v>
      </c>
    </row>
    <row r="3" spans="1:12" x14ac:dyDescent="0.3">
      <c r="A3" s="2">
        <v>2</v>
      </c>
      <c r="B3" s="1" t="s">
        <v>10</v>
      </c>
      <c r="C3" s="1" t="s">
        <v>11</v>
      </c>
      <c r="D3" s="1" t="s">
        <v>12</v>
      </c>
      <c r="E3" s="2">
        <v>55000</v>
      </c>
      <c r="F3" s="3">
        <v>43536</v>
      </c>
      <c r="G3" s="2">
        <v>4</v>
      </c>
    </row>
    <row r="4" spans="1:12" x14ac:dyDescent="0.3">
      <c r="A4" s="2">
        <v>3</v>
      </c>
      <c r="B4" s="1" t="s">
        <v>13</v>
      </c>
      <c r="C4" s="1" t="s">
        <v>14</v>
      </c>
      <c r="D4" s="1" t="s">
        <v>9</v>
      </c>
      <c r="E4" s="2">
        <v>70000</v>
      </c>
      <c r="F4" s="3">
        <v>43303</v>
      </c>
    </row>
    <row r="5" spans="1:12" x14ac:dyDescent="0.3">
      <c r="A5" s="2">
        <v>4</v>
      </c>
      <c r="B5" s="1" t="s">
        <v>15</v>
      </c>
      <c r="C5" s="1" t="s">
        <v>16</v>
      </c>
      <c r="D5" s="1" t="s">
        <v>12</v>
      </c>
      <c r="E5" s="2">
        <v>58000</v>
      </c>
      <c r="F5" s="3">
        <v>44357</v>
      </c>
    </row>
    <row r="6" spans="1:12" x14ac:dyDescent="0.3">
      <c r="A6" s="2">
        <v>5</v>
      </c>
      <c r="B6" s="1" t="s">
        <v>17</v>
      </c>
      <c r="C6" s="1" t="s">
        <v>18</v>
      </c>
      <c r="D6" s="1" t="s">
        <v>19</v>
      </c>
      <c r="E6" s="2">
        <v>50000</v>
      </c>
      <c r="F6" s="3">
        <v>44136</v>
      </c>
      <c r="G6" s="2">
        <v>6</v>
      </c>
      <c r="K6" t="str">
        <f>VLOOKUP(B5,B1:D7,3,FALSE)</f>
        <v>HR</v>
      </c>
    </row>
    <row r="7" spans="1:12" x14ac:dyDescent="0.3">
      <c r="A7" s="2">
        <v>6</v>
      </c>
      <c r="B7" s="1" t="s">
        <v>20</v>
      </c>
      <c r="C7" s="1" t="s">
        <v>21</v>
      </c>
      <c r="D7" s="1" t="s">
        <v>19</v>
      </c>
      <c r="E7" s="2">
        <v>65000</v>
      </c>
      <c r="F7" s="3">
        <v>42977</v>
      </c>
    </row>
    <row r="9" spans="1:12" x14ac:dyDescent="0.3">
      <c r="K9">
        <v>3</v>
      </c>
      <c r="L9">
        <v>4</v>
      </c>
    </row>
    <row r="13" spans="1:12" x14ac:dyDescent="0.3">
      <c r="B13">
        <f>SUM(E2:E7)</f>
        <v>358000</v>
      </c>
    </row>
    <row r="17" spans="1:6" x14ac:dyDescent="0.3">
      <c r="B17">
        <f>AVERAGE(E2:E7)</f>
        <v>59666.666666666664</v>
      </c>
    </row>
    <row r="19" spans="1:6" x14ac:dyDescent="0.3">
      <c r="A19" t="s">
        <v>22</v>
      </c>
      <c r="C19" t="s">
        <v>23</v>
      </c>
    </row>
    <row r="20" spans="1:6" x14ac:dyDescent="0.3">
      <c r="A20" t="b">
        <f>AND(D1="IT",E1&gt;50000)</f>
        <v>0</v>
      </c>
      <c r="C20" t="b">
        <f>OR(D1="IT",E1&gt;100000)</f>
        <v>1</v>
      </c>
    </row>
    <row r="22" spans="1:6" x14ac:dyDescent="0.3">
      <c r="A22" t="s">
        <v>24</v>
      </c>
    </row>
    <row r="23" spans="1:6" x14ac:dyDescent="0.3">
      <c r="A23">
        <f>COUNT(D1,D5)</f>
        <v>0</v>
      </c>
    </row>
    <row r="29" spans="1:6" x14ac:dyDescent="0.3">
      <c r="F29" s="4">
        <v>60000</v>
      </c>
    </row>
    <row r="30" spans="1:6" x14ac:dyDescent="0.3">
      <c r="F30" s="4">
        <v>60000</v>
      </c>
    </row>
    <row r="31" spans="1:6" x14ac:dyDescent="0.3">
      <c r="F31" s="4">
        <v>60000</v>
      </c>
    </row>
    <row r="32" spans="1:6" x14ac:dyDescent="0.3">
      <c r="F32" s="4">
        <v>60000</v>
      </c>
    </row>
    <row r="33" spans="2:6" x14ac:dyDescent="0.3">
      <c r="F33" s="4">
        <v>60000</v>
      </c>
    </row>
    <row r="34" spans="2:6" x14ac:dyDescent="0.3">
      <c r="F34" s="4">
        <v>60000</v>
      </c>
    </row>
    <row r="43" spans="2:6" x14ac:dyDescent="0.3">
      <c r="C43" t="s">
        <v>25</v>
      </c>
    </row>
    <row r="48" spans="2:6" x14ac:dyDescent="0.3">
      <c r="B48">
        <f>MIN(E2:E7)</f>
        <v>50000</v>
      </c>
    </row>
    <row r="49" spans="1:2" x14ac:dyDescent="0.3">
      <c r="B49">
        <f>MAX(E2:E7)</f>
        <v>70000</v>
      </c>
    </row>
    <row r="54" spans="1:2" x14ac:dyDescent="0.3">
      <c r="A54" t="s">
        <v>26</v>
      </c>
      <c r="B54" t="str" cm="1">
        <f t="array" ref="B54:B60">TRIM(B1:B7)</f>
        <v>FirstName</v>
      </c>
    </row>
    <row r="55" spans="1:2" x14ac:dyDescent="0.3">
      <c r="B55" t="str">
        <v>John</v>
      </c>
    </row>
    <row r="56" spans="1:2" x14ac:dyDescent="0.3">
      <c r="B56" t="str">
        <v>Jane</v>
      </c>
    </row>
    <row r="57" spans="1:2" x14ac:dyDescent="0.3">
      <c r="B57" t="str">
        <v>Sam</v>
      </c>
    </row>
    <row r="58" spans="1:2" x14ac:dyDescent="0.3">
      <c r="B58" t="str">
        <v>Lisa</v>
      </c>
    </row>
    <row r="59" spans="1:2" x14ac:dyDescent="0.3">
      <c r="B59" t="str">
        <v>Tom</v>
      </c>
    </row>
    <row r="60" spans="1:2" x14ac:dyDescent="0.3">
      <c r="B60" t="str">
        <v>Eva</v>
      </c>
    </row>
    <row r="61" spans="1:2" x14ac:dyDescent="0.3">
      <c r="A61" t="s">
        <v>27</v>
      </c>
    </row>
    <row r="62" spans="1:2" x14ac:dyDescent="0.3">
      <c r="B62" t="str" cm="1">
        <f t="array" ref="B62:B67">PROPER(D2:D7)</f>
        <v>It</v>
      </c>
    </row>
    <row r="63" spans="1:2" x14ac:dyDescent="0.3">
      <c r="B63" t="str">
        <v>Hr</v>
      </c>
    </row>
    <row r="64" spans="1:2" x14ac:dyDescent="0.3">
      <c r="B64" t="str">
        <v>It</v>
      </c>
    </row>
    <row r="65" spans="1:3" x14ac:dyDescent="0.3">
      <c r="B65" t="str">
        <v>Hr</v>
      </c>
    </row>
    <row r="66" spans="1:3" x14ac:dyDescent="0.3">
      <c r="B66" t="str">
        <v>Finance</v>
      </c>
    </row>
    <row r="67" spans="1:3" x14ac:dyDescent="0.3">
      <c r="B67" t="str">
        <v>Finance</v>
      </c>
    </row>
    <row r="68" spans="1:3" x14ac:dyDescent="0.3">
      <c r="A68" t="s">
        <v>28</v>
      </c>
      <c r="B68" t="str" cm="1">
        <f t="array" ref="B68:B73">LOWER(B55:B60)</f>
        <v>john</v>
      </c>
      <c r="C68" t="s">
        <v>29</v>
      </c>
    </row>
    <row r="69" spans="1:3" x14ac:dyDescent="0.3">
      <c r="B69" t="str">
        <v>jane</v>
      </c>
      <c r="C69" t="str" cm="1">
        <f t="array" ref="C69:C74">UPPER(_xlfn.ANCHORARRAY(B68))</f>
        <v>JOHN</v>
      </c>
    </row>
    <row r="70" spans="1:3" x14ac:dyDescent="0.3">
      <c r="B70" t="str">
        <v>sam</v>
      </c>
      <c r="C70" t="str">
        <v>JANE</v>
      </c>
    </row>
    <row r="71" spans="1:3" x14ac:dyDescent="0.3">
      <c r="B71" t="str">
        <v>lisa</v>
      </c>
      <c r="C71" t="str">
        <v>SAM</v>
      </c>
    </row>
    <row r="72" spans="1:3" x14ac:dyDescent="0.3">
      <c r="B72" t="str">
        <v>tom</v>
      </c>
      <c r="C72" t="str">
        <v>LISA</v>
      </c>
    </row>
    <row r="73" spans="1:3" x14ac:dyDescent="0.3">
      <c r="B73" t="str">
        <v>eva</v>
      </c>
      <c r="C73" t="str">
        <v>TOM</v>
      </c>
    </row>
    <row r="74" spans="1:3" x14ac:dyDescent="0.3">
      <c r="C74" t="str">
        <v>EVA</v>
      </c>
    </row>
    <row r="83" spans="1:2" x14ac:dyDescent="0.3">
      <c r="A83" t="e">
        <f>VLOOKUP(A6,D1,D6,)</f>
        <v>#N/A</v>
      </c>
    </row>
    <row r="85" spans="1:2" x14ac:dyDescent="0.3">
      <c r="A85" t="s">
        <v>30</v>
      </c>
    </row>
    <row r="87" spans="1:2" x14ac:dyDescent="0.3">
      <c r="A87">
        <f>COUNTBLANK(A1:G7)</f>
        <v>3</v>
      </c>
    </row>
    <row r="90" spans="1:2" x14ac:dyDescent="0.3">
      <c r="A90" t="s">
        <v>31</v>
      </c>
    </row>
    <row r="91" spans="1:2" x14ac:dyDescent="0.3">
      <c r="A91" s="5">
        <f ca="1">TODAY()</f>
        <v>45462</v>
      </c>
    </row>
    <row r="94" spans="1:2" x14ac:dyDescent="0.3">
      <c r="A94" t="s">
        <v>32</v>
      </c>
    </row>
    <row r="95" spans="1:2" x14ac:dyDescent="0.3">
      <c r="A95" s="1" t="s">
        <v>1</v>
      </c>
      <c r="B95" s="1" t="s">
        <v>2</v>
      </c>
    </row>
    <row r="96" spans="1:2" x14ac:dyDescent="0.3">
      <c r="A96" s="1" t="s">
        <v>7</v>
      </c>
      <c r="B96" s="1" t="s">
        <v>8</v>
      </c>
    </row>
    <row r="97" spans="1:2" x14ac:dyDescent="0.3">
      <c r="A97" s="1" t="s">
        <v>10</v>
      </c>
      <c r="B97" s="1" t="s">
        <v>11</v>
      </c>
    </row>
    <row r="98" spans="1:2" x14ac:dyDescent="0.3">
      <c r="A98" s="1" t="s">
        <v>13</v>
      </c>
      <c r="B98" s="1" t="s">
        <v>14</v>
      </c>
    </row>
    <row r="99" spans="1:2" x14ac:dyDescent="0.3">
      <c r="A99" s="1" t="s">
        <v>15</v>
      </c>
      <c r="B99" s="1" t="s">
        <v>16</v>
      </c>
    </row>
    <row r="100" spans="1:2" x14ac:dyDescent="0.3">
      <c r="A100" s="1" t="s">
        <v>17</v>
      </c>
      <c r="B100" s="1" t="s">
        <v>18</v>
      </c>
    </row>
    <row r="101" spans="1:2" x14ac:dyDescent="0.3">
      <c r="A101" s="1" t="s">
        <v>20</v>
      </c>
      <c r="B101" s="1" t="s">
        <v>21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cro3">
                <anchor moveWithCells="1" sizeWithCells="1">
                  <from>
                    <xdr:col>5</xdr:col>
                    <xdr:colOff>426720</xdr:colOff>
                    <xdr:row>39</xdr:row>
                    <xdr:rowOff>91440</xdr:rowOff>
                  </from>
                  <to>
                    <xdr:col>6</xdr:col>
                    <xdr:colOff>259080</xdr:colOff>
                    <xdr:row>40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Sheet2</vt:lpstr>
      <vt:lpstr>dashboard</vt:lpstr>
      <vt:lpstr>Sheet1</vt:lpstr>
      <vt:lpstr>answer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Dnyaneshwar More</dc:creator>
  <cp:lastModifiedBy>Dnyaneshwar More</cp:lastModifiedBy>
  <dcterms:created xsi:type="dcterms:W3CDTF">2024-06-14T10:01:17Z</dcterms:created>
  <dcterms:modified xsi:type="dcterms:W3CDTF">2024-06-19T12:40:08Z</dcterms:modified>
</cp:coreProperties>
</file>